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ed &amp; Modified Files" sheetId="1" r:id="rId1"/>
    <sheet name="Required Packages &amp; Libraries" sheetId="2" r:id="rId2"/>
  </sheets>
  <calcPr calcId="124519" fullCalcOnLoad="1"/>
</workbook>
</file>

<file path=xl/sharedStrings.xml><?xml version="1.0" encoding="utf-8"?>
<sst xmlns="http://schemas.openxmlformats.org/spreadsheetml/2006/main" count="296" uniqueCount="200">
  <si>
    <t>PROJECT INTEGRATION — ADDED AND MODIFIED FILES LOG</t>
  </si>
  <si>
    <t>S.No</t>
  </si>
  <si>
    <t>File Name</t>
  </si>
  <si>
    <t>Type (Added/Modified)</t>
  </si>
  <si>
    <t>Exact File Location</t>
  </si>
  <si>
    <t>Module</t>
  </si>
  <si>
    <t>Reason for Change</t>
  </si>
  <si>
    <t>Detailed Summary of Changes</t>
  </si>
  <si>
    <t>Dependencies / Related Files</t>
  </si>
  <si>
    <t>requirements.txt</t>
  </si>
  <si>
    <t>Modified</t>
  </si>
  <si>
    <t>Backend Build &amp; Packaging</t>
  </si>
  <si>
    <t>Added missing PDF processing &amp; layout dependencies</t>
  </si>
  <si>
    <t>Added reportlab&gt;=3.6.0 for IEEE 830 / BRD PDF generation and pymupdf&gt;=1.23.0 for PDF page validation.</t>
  </si>
  <si>
    <t>backend/fastapi_agents/pdf_generator.py</t>
  </si>
  <si>
    <t>package.json</t>
  </si>
  <si>
    <t>frontend/package.json</t>
  </si>
  <si>
    <t>Frontend Build &amp; Dependencies</t>
  </si>
  <si>
    <t>Declared missing axios HTTP client dependency</t>
  </si>
  <si>
    <t>Added axios (^1.6.0) under dependencies to prevent Vite module resolution build failures.</t>
  </si>
  <si>
    <t>frontend/src/components/LivePreviewFrame.tsx</t>
  </si>
  <si>
    <t>models.py</t>
  </si>
  <si>
    <t>backend/fastapi_agents/models.py</t>
  </si>
  <si>
    <t>Database ORM &amp; Schemas</t>
  </si>
  <si>
    <t>Re-exported models_extension schemas for unified module access</t>
  </si>
  <si>
    <t>Added import for models_extension to ensure extended Pydantic models are registered and available across backend.</t>
  </si>
  <si>
    <t>backend/fastapi_agents/models_extension.py, main.py</t>
  </si>
  <si>
    <t>.env.example</t>
  </si>
  <si>
    <t>Added</t>
  </si>
  <si>
    <t>Environment Configuration</t>
  </si>
  <si>
    <t>Created environment configuration template for development &amp; CI/CD setups</t>
  </si>
  <si>
    <t>Documented DATABASE_URL, PROVIDER_KEY_ENCRYPTION_KEY, OPENAI_API_KEY, and DEMO_MODE variables.</t>
  </si>
  <si>
    <t>backend/fastapi_agents/main.py, models.py</t>
  </si>
  <si>
    <t>main_extension.py</t>
  </si>
  <si>
    <t>backend/fastapi_agents/main_extension.py</t>
  </si>
  <si>
    <t>REST API Router</t>
  </si>
  <si>
    <t>Implemented REST endpoints for Requirements Copilot, Apply Mutations, SRS/BRD PDF export, and status tracking</t>
  </si>
  <si>
    <t>Added /generate/requirements-copilot, /generate/requirements-apply, /generate/srs-pdf, /generate/brd, /generate/technical-documentation, /projects/{id}/pdf-status.</t>
  </si>
  <si>
    <t>backend/fastapi_agents/agents/requirements/copilot_agent.py, pdf_generator.py, brd_srs_builder.py</t>
  </si>
  <si>
    <t>pdf_generator.py</t>
  </si>
  <si>
    <t>PDF Compilation Engine</t>
  </si>
  <si>
    <t>ReportLab 18-page SRS PDF compilation engine implementation</t>
  </si>
  <si>
    <t>Integrated generate_srs_pdf with two-pass NumberedCanvas, dynamic Table of Contents, EY Gold theme styling, and DB artifact binding.</t>
  </si>
  <si>
    <t>backend/fastapi_agents/brd_srs_builder.py, main_extension.py</t>
  </si>
  <si>
    <t>copilot_agent.py</t>
  </si>
  <si>
    <t>backend/fastapi_agents/agents/requirements/copilot_agent.py</t>
  </si>
  <si>
    <t>AI Requirement Agent</t>
  </si>
  <si>
    <t>RequirementCopilotAgent implementation for prompt processing</t>
  </si>
  <si>
    <t>Analyzes user prompts against live requirement JSON and outputs structured proposed additions, modifications, and deletions.</t>
  </si>
  <si>
    <t>RequirementsWorkspace.tsx</t>
  </si>
  <si>
    <t>frontend/src/pages/RequirementsWorkspace.tsx</t>
  </si>
  <si>
    <t>React Frontend Workspace</t>
  </si>
  <si>
    <t>Connected dynamic metrics, Copilot Apply workflow, diff preview panel, PDF export dropdown, out-of-date alert banner</t>
  </si>
  <si>
    <t>Removed static hardcoded counts, calculated live metrics reactively from PostgreSQL artifacts, added Copilot Apply/Reject state sync and PDF out-of-date status listener.</t>
  </si>
  <si>
    <t>frontend/src/lib/useUnifiedArtifacts.ts, backend/fastapi_agents/main_extension.py</t>
  </si>
  <si>
    <t>API_ENDPOINTS_REQUIREMENTS_TASK.py</t>
  </si>
  <si>
    <t>backend/fastapi_agents/API_ENDPOINTS_REQUIREMENTS_TASK.py</t>
  </si>
  <si>
    <t>Standalone API Reference</t>
  </si>
  <si>
    <t>Created 1-click standalone REST route reference file for easy mentor integration</t>
  </si>
  <si>
    <t>Extracted all 5 requirements task REST API endpoints into an isolated reference module.</t>
  </si>
  <si>
    <t>backend/fastapi_agents/main.py, main_extension.py</t>
  </si>
  <si>
    <t>REQUIRED PACKAGES, LIBRARIES &amp; MODULES INVENTORY</t>
  </si>
  <si>
    <t>Package / Library / Module</t>
  </si>
  <si>
    <t>Version</t>
  </si>
  <si>
    <t>Frontend / Backend</t>
  </si>
  <si>
    <t>Purpose</t>
  </si>
  <si>
    <t>Installation Command</t>
  </si>
  <si>
    <t>Mandatory / Optional</t>
  </si>
  <si>
    <t>fastapi</t>
  </si>
  <si>
    <t>Backend (Python)</t>
  </si>
  <si>
    <t>High-performance Web API framework for REST endpoints and routing</t>
  </si>
  <si>
    <t>pip install fastapi==0.115.0</t>
  </si>
  <si>
    <t>Mandatory</t>
  </si>
  <si>
    <t>uvicorn[standard]</t>
  </si>
  <si>
    <t>ASGI server implementation for running FastAPI application</t>
  </si>
  <si>
    <t>pip install uvicorn[standard]==0.30.6</t>
  </si>
  <si>
    <t>python-dotenv</t>
  </si>
  <si>
    <t>Core backend framework</t>
  </si>
  <si>
    <t>pip install python-dotenv==1.0.1</t>
  </si>
  <si>
    <t>sqlalchemy</t>
  </si>
  <si>
    <t>SQL Toolkit and Object Relational Mapper (ORM) for PostgreSQL</t>
  </si>
  <si>
    <t>pip install sqlalchemy==2.0.35</t>
  </si>
  <si>
    <t>psycopg2-binary</t>
  </si>
  <si>
    <t>PostgreSQL database adapter for Python</t>
  </si>
  <si>
    <t>pip install psycopg2-binary==2.9.9</t>
  </si>
  <si>
    <t>pydantic</t>
  </si>
  <si>
    <t>Data validation and settings management using Python type annotations</t>
  </si>
  <si>
    <t>pip install pydantic==2.9.2</t>
  </si>
  <si>
    <t>PyJWT</t>
  </si>
  <si>
    <t>JSON Web Token encoding and decoding for HTTP-only cookie authentication</t>
  </si>
  <si>
    <t>pip install PyJWT==2.9.0</t>
  </si>
  <si>
    <t>passlib[bcrypt]</t>
  </si>
  <si>
    <t>Password hashing (bcrypt) and Fernet symmetric key encryption for BYOK credentials</t>
  </si>
  <si>
    <t>pip install passlib[bcrypt]==1.7.4</t>
  </si>
  <si>
    <t>cryptography</t>
  </si>
  <si>
    <t>pip install cryptography==43.0.1</t>
  </si>
  <si>
    <t>python-multipart</t>
  </si>
  <si>
    <t>pip install python-multipart==0.0.9</t>
  </si>
  <si>
    <t>email-validator</t>
  </si>
  <si>
    <t>pip install email-validator==2.2.0</t>
  </si>
  <si>
    <t>python-pptx</t>
  </si>
  <si>
    <t>PowerPoint presentation generation and manipulation library</t>
  </si>
  <si>
    <t>pip install python-pptx==1.0.2</t>
  </si>
  <si>
    <t>Pillow</t>
  </si>
  <si>
    <t>&gt;=12.2.0</t>
  </si>
  <si>
    <t>Python Imaging Library (PIL) for image processing and slide thumbnail rasterisation</t>
  </si>
  <si>
    <t>pip install Pillow&gt;=12.2.0</t>
  </si>
  <si>
    <t>pdf2image</t>
  </si>
  <si>
    <t>&gt;=1.17.0</t>
  </si>
  <si>
    <t>pip install pdf2image&gt;=1.17.0</t>
  </si>
  <si>
    <t>requests</t>
  </si>
  <si>
    <t>&gt;=2.31.0</t>
  </si>
  <si>
    <t>HTTP library for making outbound API requests to external LLM providers</t>
  </si>
  <si>
    <t>pip install requests&gt;=2.31.0</t>
  </si>
  <si>
    <t>pdfplumber</t>
  </si>
  <si>
    <t>&gt;=0.11.0</t>
  </si>
  <si>
    <t>Document text extraction for BRD/RFP ingestion (.pdf, .docx)</t>
  </si>
  <si>
    <t>pip install pdfplumber&gt;=0.11.0</t>
  </si>
  <si>
    <t>python-docx</t>
  </si>
  <si>
    <t>&gt;=1.1.0</t>
  </si>
  <si>
    <t>pip install python-docx&gt;=1.1.0</t>
  </si>
  <si>
    <t>PyPDF2</t>
  </si>
  <si>
    <t>&gt;=3.0.0</t>
  </si>
  <si>
    <t>pip install PyPDF2&gt;=3.0.0</t>
  </si>
  <si>
    <t>reportlab</t>
  </si>
  <si>
    <t>&gt;=3.6.0</t>
  </si>
  <si>
    <t>PDF document compilation engine for generating 18-page IEEE 830 SRS &amp; BRD PDFs</t>
  </si>
  <si>
    <t>pip install reportlab&gt;=3.6.0</t>
  </si>
  <si>
    <t>pymupdf</t>
  </si>
  <si>
    <t>&gt;=1.23.0</t>
  </si>
  <si>
    <t>PDF rendering, page count analysis, and page rasterisation verification</t>
  </si>
  <si>
    <t>pip install pymupdf&gt;=1.23.0</t>
  </si>
  <si>
    <t>edge-tts</t>
  </si>
  <si>
    <t>&gt;=7.0.0</t>
  </si>
  <si>
    <t>Microsoft neural voice Text-to-Speech narration generation</t>
  </si>
  <si>
    <t>pip install edge-tts&gt;=7.0.0</t>
  </si>
  <si>
    <t>Optional</t>
  </si>
  <si>
    <t>deep-translator</t>
  </si>
  <si>
    <t>&gt;=1.11.0</t>
  </si>
  <si>
    <t>Auto-translation for multi-language narration voices</t>
  </si>
  <si>
    <t>pip install deep-translator&gt;=1.11.0</t>
  </si>
  <si>
    <t>@babel/standalone</t>
  </si>
  <si>
    <t>^8.0.4</t>
  </si>
  <si>
    <t>Frontend (Node.js)</t>
  </si>
  <si>
    <t>Frontend framework component</t>
  </si>
  <si>
    <t>npm install @babel/standalone@^8.0.4</t>
  </si>
  <si>
    <t>@supabase/supabase-js</t>
  </si>
  <si>
    <t>^2.57.4</t>
  </si>
  <si>
    <t>Supabase client library for authentication and database services</t>
  </si>
  <si>
    <t>npm install @supabase/supabase-js@^2.57.4</t>
  </si>
  <si>
    <t>@tanstack/react-table</t>
  </si>
  <si>
    <t>^8.21.3</t>
  </si>
  <si>
    <t>Headless table UI library for data grid views</t>
  </si>
  <si>
    <t>npm install @tanstack/react-table@^8.21.3</t>
  </si>
  <si>
    <t>@types/dompurify</t>
  </si>
  <si>
    <t>^3.0.5</t>
  </si>
  <si>
    <t>DOM sanitizer for preventing XSS attacks when rendering HTML/Markdown</t>
  </si>
  <si>
    <t>npm install @types/dompurify@^3.0.5</t>
  </si>
  <si>
    <t>@types/react-syntax-highlighter</t>
  </si>
  <si>
    <t>^15.5.13</t>
  </si>
  <si>
    <t>npm install @types/react-syntax-highlighter@^15.5.13</t>
  </si>
  <si>
    <t>axios</t>
  </si>
  <si>
    <t>^1.6.0</t>
  </si>
  <si>
    <t>Promise-based HTTP client for browser REST API requests</t>
  </si>
  <si>
    <t>npm install axios@^1.6.0</t>
  </si>
  <si>
    <t>dompurify</t>
  </si>
  <si>
    <t>^3.4.11</t>
  </si>
  <si>
    <t>npm install dompurify@^3.4.11</t>
  </si>
  <si>
    <t>framer-motion</t>
  </si>
  <si>
    <t>^12.42.2</t>
  </si>
  <si>
    <t>Motion engine for React micro-animations and tab transitions</t>
  </si>
  <si>
    <t>npm install framer-motion@^12.42.2</t>
  </si>
  <si>
    <t>lucide-react</t>
  </si>
  <si>
    <t>^0.344.0</t>
  </si>
  <si>
    <t>Enterprise UI icon library for dashboard, workspace, and buttons</t>
  </si>
  <si>
    <t>npm install lucide-react@^0.344.0</t>
  </si>
  <si>
    <t>marked</t>
  </si>
  <si>
    <t>^18.0.6</t>
  </si>
  <si>
    <t>npm install marked@^18.0.6</t>
  </si>
  <si>
    <t>mermaid</t>
  </si>
  <si>
    <t>^11.16.0</t>
  </si>
  <si>
    <t>Diagramming and charting tool that renders Markdown-inspired text definitions</t>
  </si>
  <si>
    <t>npm install mermaid@^11.16.0</t>
  </si>
  <si>
    <t>react</t>
  </si>
  <si>
    <t>^18.3.1</t>
  </si>
  <si>
    <t>Core React UI library and DOM rendering engine</t>
  </si>
  <si>
    <t>npm install react@^18.3.1</t>
  </si>
  <si>
    <t>react-dom</t>
  </si>
  <si>
    <t>npm install react-dom@^18.3.1</t>
  </si>
  <si>
    <t>react-router-dom</t>
  </si>
  <si>
    <t>^7.18.0</t>
  </si>
  <si>
    <t>Declarative routing and navigation for React single page application</t>
  </si>
  <si>
    <t>npm install react-router-dom@^7.18.0</t>
  </si>
  <si>
    <t>react-syntax-highlighter</t>
  </si>
  <si>
    <t>^16.1.1</t>
  </si>
  <si>
    <t>npm install react-syntax-highlighter@^16.1.1</t>
  </si>
  <si>
    <t>recharts</t>
  </si>
  <si>
    <t>^3.8.1</t>
  </si>
  <si>
    <t>Composable charting library for analytics and workspace metrics</t>
  </si>
  <si>
    <t>npm install recharts@^3.8.1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</si>
</sst>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5"/>
      <color rgb="FFFFE6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D97706"/>
      <name val="Calibri"/>
      <family val="2"/>
      <scheme val="minor"/>
    </font>
    <font>
      <sz val="9"/>
      <color theme="1"/>
      <name val="Consolas"/>
      <family val="2"/>
    </font>
    <font>
      <b/>
      <sz val="9"/>
      <color rgb="FF2563EB"/>
      <name val="Calibri"/>
      <family val="2"/>
      <scheme val="minor"/>
    </font>
    <font>
      <b/>
      <sz val="9"/>
      <color rgb="FF059669"/>
      <name val="Calibri"/>
      <family val="2"/>
      <scheme val="minor"/>
    </font>
    <font>
      <b/>
      <sz val="9"/>
      <color rgb="FF6B72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6.7109375" customWidth="1"/>
    <col min="2" max="2" width="32.7109375" customWidth="1"/>
    <col min="3" max="3" width="14.7109375" customWidth="1"/>
    <col min="4" max="4" width="45.7109375" customWidth="1"/>
    <col min="5" max="5" width="22.7109375" customWidth="1"/>
    <col min="6" max="6" width="40.7109375" customWidth="1"/>
    <col min="7" max="7" width="55.7109375" customWidth="1"/>
    <col min="8" max="8" width="4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>
      <c r="A5" s="3">
        <v>1</v>
      </c>
      <c r="B5" s="3" t="s">
        <v>9</v>
      </c>
      <c r="C5" s="4" t="s">
        <v>10</v>
      </c>
      <c r="D5" s="5" t="s">
        <v>9</v>
      </c>
      <c r="E5" s="3" t="s">
        <v>11</v>
      </c>
      <c r="F5" s="3" t="s">
        <v>12</v>
      </c>
      <c r="G5" s="3" t="s">
        <v>13</v>
      </c>
      <c r="H5" s="5" t="s">
        <v>14</v>
      </c>
    </row>
    <row r="6" spans="1:8">
      <c r="A6" s="3">
        <v>2</v>
      </c>
      <c r="B6" s="3" t="s">
        <v>15</v>
      </c>
      <c r="C6" s="4" t="s">
        <v>10</v>
      </c>
      <c r="D6" s="5" t="s">
        <v>16</v>
      </c>
      <c r="E6" s="3" t="s">
        <v>17</v>
      </c>
      <c r="F6" s="3" t="s">
        <v>18</v>
      </c>
      <c r="G6" s="3" t="s">
        <v>19</v>
      </c>
      <c r="H6" s="5" t="s">
        <v>20</v>
      </c>
    </row>
    <row r="7" spans="1:8">
      <c r="A7" s="3">
        <v>3</v>
      </c>
      <c r="B7" s="3" t="s">
        <v>21</v>
      </c>
      <c r="C7" s="4" t="s">
        <v>10</v>
      </c>
      <c r="D7" s="5" t="s">
        <v>22</v>
      </c>
      <c r="E7" s="3" t="s">
        <v>23</v>
      </c>
      <c r="F7" s="3" t="s">
        <v>24</v>
      </c>
      <c r="G7" s="3" t="s">
        <v>25</v>
      </c>
      <c r="H7" s="5" t="s">
        <v>26</v>
      </c>
    </row>
    <row r="8" spans="1:8">
      <c r="A8" s="3">
        <v>4</v>
      </c>
      <c r="B8" s="3" t="s">
        <v>27</v>
      </c>
      <c r="C8" s="6" t="s">
        <v>28</v>
      </c>
      <c r="D8" s="5" t="s">
        <v>27</v>
      </c>
      <c r="E8" s="3" t="s">
        <v>29</v>
      </c>
      <c r="F8" s="3" t="s">
        <v>30</v>
      </c>
      <c r="G8" s="3" t="s">
        <v>31</v>
      </c>
      <c r="H8" s="5" t="s">
        <v>32</v>
      </c>
    </row>
    <row r="9" spans="1:8">
      <c r="A9" s="3">
        <v>5</v>
      </c>
      <c r="B9" s="3" t="s">
        <v>33</v>
      </c>
      <c r="C9" s="4" t="s">
        <v>10</v>
      </c>
      <c r="D9" s="5" t="s">
        <v>34</v>
      </c>
      <c r="E9" s="3" t="s">
        <v>35</v>
      </c>
      <c r="F9" s="3" t="s">
        <v>36</v>
      </c>
      <c r="G9" s="3" t="s">
        <v>37</v>
      </c>
      <c r="H9" s="5" t="s">
        <v>38</v>
      </c>
    </row>
    <row r="10" spans="1:8">
      <c r="A10" s="3">
        <v>6</v>
      </c>
      <c r="B10" s="3" t="s">
        <v>39</v>
      </c>
      <c r="C10" s="4" t="s">
        <v>10</v>
      </c>
      <c r="D10" s="5" t="s">
        <v>14</v>
      </c>
      <c r="E10" s="3" t="s">
        <v>40</v>
      </c>
      <c r="F10" s="3" t="s">
        <v>41</v>
      </c>
      <c r="G10" s="3" t="s">
        <v>42</v>
      </c>
      <c r="H10" s="5" t="s">
        <v>43</v>
      </c>
    </row>
    <row r="11" spans="1:8">
      <c r="A11" s="3">
        <v>7</v>
      </c>
      <c r="B11" s="3" t="s">
        <v>44</v>
      </c>
      <c r="C11" s="6" t="s">
        <v>28</v>
      </c>
      <c r="D11" s="5" t="s">
        <v>45</v>
      </c>
      <c r="E11" s="3" t="s">
        <v>46</v>
      </c>
      <c r="F11" s="3" t="s">
        <v>47</v>
      </c>
      <c r="G11" s="3" t="s">
        <v>48</v>
      </c>
      <c r="H11" s="5" t="s">
        <v>34</v>
      </c>
    </row>
    <row r="12" spans="1:8">
      <c r="A12" s="3">
        <v>8</v>
      </c>
      <c r="B12" s="3" t="s">
        <v>49</v>
      </c>
      <c r="C12" s="4" t="s">
        <v>10</v>
      </c>
      <c r="D12" s="5" t="s">
        <v>50</v>
      </c>
      <c r="E12" s="3" t="s">
        <v>51</v>
      </c>
      <c r="F12" s="3" t="s">
        <v>52</v>
      </c>
      <c r="G12" s="3" t="s">
        <v>53</v>
      </c>
      <c r="H12" s="5" t="s">
        <v>54</v>
      </c>
    </row>
    <row r="13" spans="1:8">
      <c r="A13" s="3">
        <v>9</v>
      </c>
      <c r="B13" s="3" t="s">
        <v>55</v>
      </c>
      <c r="C13" s="6" t="s">
        <v>28</v>
      </c>
      <c r="D13" s="5" t="s">
        <v>56</v>
      </c>
      <c r="E13" s="3" t="s">
        <v>57</v>
      </c>
      <c r="F13" s="3" t="s">
        <v>58</v>
      </c>
      <c r="G13" s="3" t="s">
        <v>59</v>
      </c>
      <c r="H13" s="5" t="s">
        <v>60</v>
      </c>
    </row>
  </sheetData>
  <mergeCells count="1"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cols>
    <col min="1" max="1" width="6.7109375" customWidth="1"/>
    <col min="2" max="2" width="35.7109375" customWidth="1"/>
    <col min="3" max="4" width="18.7109375" customWidth="1"/>
    <col min="5" max="5" width="55.7109375" customWidth="1"/>
    <col min="6" max="6" width="40.7109375" customWidth="1"/>
    <col min="7" max="7" width="18.7109375" customWidth="1"/>
  </cols>
  <sheetData>
    <row r="1" spans="1:7">
      <c r="A1" s="1" t="s">
        <v>61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2" t="s">
        <v>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67</v>
      </c>
    </row>
    <row r="5" spans="1:7">
      <c r="A5" s="3">
        <v>1</v>
      </c>
      <c r="B5" s="5" t="s">
        <v>68</v>
      </c>
      <c r="C5" s="3">
        <f>=0.115.0</f>
        <v>0</v>
      </c>
      <c r="D5" s="3" t="s">
        <v>69</v>
      </c>
      <c r="E5" s="3" t="s">
        <v>70</v>
      </c>
      <c r="F5" s="5" t="s">
        <v>71</v>
      </c>
      <c r="G5" s="7" t="s">
        <v>72</v>
      </c>
    </row>
    <row r="6" spans="1:7">
      <c r="A6" s="3">
        <v>2</v>
      </c>
      <c r="B6" s="5" t="s">
        <v>73</v>
      </c>
      <c r="C6" s="3">
        <f>=0.30.6</f>
        <v>0</v>
      </c>
      <c r="D6" s="3" t="s">
        <v>69</v>
      </c>
      <c r="E6" s="3" t="s">
        <v>74</v>
      </c>
      <c r="F6" s="5" t="s">
        <v>75</v>
      </c>
      <c r="G6" s="7" t="s">
        <v>72</v>
      </c>
    </row>
    <row r="7" spans="1:7">
      <c r="A7" s="3">
        <v>3</v>
      </c>
      <c r="B7" s="5" t="s">
        <v>76</v>
      </c>
      <c r="C7" s="3">
        <f>=1.0.1</f>
        <v>0</v>
      </c>
      <c r="D7" s="3" t="s">
        <v>69</v>
      </c>
      <c r="E7" s="3" t="s">
        <v>77</v>
      </c>
      <c r="F7" s="5" t="s">
        <v>78</v>
      </c>
      <c r="G7" s="7" t="s">
        <v>72</v>
      </c>
    </row>
    <row r="8" spans="1:7">
      <c r="A8" s="3">
        <v>4</v>
      </c>
      <c r="B8" s="5" t="s">
        <v>79</v>
      </c>
      <c r="C8" s="3">
        <f>=2.0.35</f>
        <v>0</v>
      </c>
      <c r="D8" s="3" t="s">
        <v>69</v>
      </c>
      <c r="E8" s="3" t="s">
        <v>80</v>
      </c>
      <c r="F8" s="5" t="s">
        <v>81</v>
      </c>
      <c r="G8" s="7" t="s">
        <v>72</v>
      </c>
    </row>
    <row r="9" spans="1:7">
      <c r="A9" s="3">
        <v>5</v>
      </c>
      <c r="B9" s="5" t="s">
        <v>82</v>
      </c>
      <c r="C9" s="3">
        <f>=2.9.9</f>
        <v>0</v>
      </c>
      <c r="D9" s="3" t="s">
        <v>69</v>
      </c>
      <c r="E9" s="3" t="s">
        <v>83</v>
      </c>
      <c r="F9" s="5" t="s">
        <v>84</v>
      </c>
      <c r="G9" s="7" t="s">
        <v>72</v>
      </c>
    </row>
    <row r="10" spans="1:7">
      <c r="A10" s="3">
        <v>6</v>
      </c>
      <c r="B10" s="5" t="s">
        <v>85</v>
      </c>
      <c r="C10" s="3">
        <f>=2.9.2</f>
        <v>0</v>
      </c>
      <c r="D10" s="3" t="s">
        <v>69</v>
      </c>
      <c r="E10" s="3" t="s">
        <v>86</v>
      </c>
      <c r="F10" s="5" t="s">
        <v>87</v>
      </c>
      <c r="G10" s="7" t="s">
        <v>72</v>
      </c>
    </row>
    <row r="11" spans="1:7">
      <c r="A11" s="3">
        <v>7</v>
      </c>
      <c r="B11" s="5" t="s">
        <v>88</v>
      </c>
      <c r="C11" s="3">
        <f>=2.9.0</f>
        <v>0</v>
      </c>
      <c r="D11" s="3" t="s">
        <v>69</v>
      </c>
      <c r="E11" s="3" t="s">
        <v>89</v>
      </c>
      <c r="F11" s="5" t="s">
        <v>90</v>
      </c>
      <c r="G11" s="7" t="s">
        <v>72</v>
      </c>
    </row>
    <row r="12" spans="1:7">
      <c r="A12" s="3">
        <v>8</v>
      </c>
      <c r="B12" s="5" t="s">
        <v>91</v>
      </c>
      <c r="C12" s="3">
        <f>=1.7.4</f>
        <v>0</v>
      </c>
      <c r="D12" s="3" t="s">
        <v>69</v>
      </c>
      <c r="E12" s="3" t="s">
        <v>92</v>
      </c>
      <c r="F12" s="5" t="s">
        <v>93</v>
      </c>
      <c r="G12" s="7" t="s">
        <v>72</v>
      </c>
    </row>
    <row r="13" spans="1:7">
      <c r="A13" s="3">
        <v>9</v>
      </c>
      <c r="B13" s="5" t="s">
        <v>94</v>
      </c>
      <c r="C13" s="3">
        <f>=43.0.1</f>
        <v>0</v>
      </c>
      <c r="D13" s="3" t="s">
        <v>69</v>
      </c>
      <c r="E13" s="3" t="s">
        <v>92</v>
      </c>
      <c r="F13" s="5" t="s">
        <v>95</v>
      </c>
      <c r="G13" s="7" t="s">
        <v>72</v>
      </c>
    </row>
    <row r="14" spans="1:7">
      <c r="A14" s="3">
        <v>10</v>
      </c>
      <c r="B14" s="5" t="s">
        <v>96</v>
      </c>
      <c r="C14" s="3">
        <f>=0.0.9</f>
        <v>0</v>
      </c>
      <c r="D14" s="3" t="s">
        <v>69</v>
      </c>
      <c r="E14" s="3" t="s">
        <v>77</v>
      </c>
      <c r="F14" s="5" t="s">
        <v>97</v>
      </c>
      <c r="G14" s="7" t="s">
        <v>72</v>
      </c>
    </row>
    <row r="15" spans="1:7">
      <c r="A15" s="3">
        <v>11</v>
      </c>
      <c r="B15" s="5" t="s">
        <v>98</v>
      </c>
      <c r="C15" s="3">
        <f>=2.2.0</f>
        <v>0</v>
      </c>
      <c r="D15" s="3" t="s">
        <v>69</v>
      </c>
      <c r="E15" s="3" t="s">
        <v>77</v>
      </c>
      <c r="F15" s="5" t="s">
        <v>99</v>
      </c>
      <c r="G15" s="7" t="s">
        <v>72</v>
      </c>
    </row>
    <row r="16" spans="1:7">
      <c r="A16" s="3">
        <v>12</v>
      </c>
      <c r="B16" s="5" t="s">
        <v>100</v>
      </c>
      <c r="C16" s="3">
        <f>=1.0.2</f>
        <v>0</v>
      </c>
      <c r="D16" s="3" t="s">
        <v>69</v>
      </c>
      <c r="E16" s="3" t="s">
        <v>101</v>
      </c>
      <c r="F16" s="5" t="s">
        <v>102</v>
      </c>
      <c r="G16" s="7" t="s">
        <v>72</v>
      </c>
    </row>
    <row r="17" spans="1:7">
      <c r="A17" s="3">
        <v>13</v>
      </c>
      <c r="B17" s="5" t="s">
        <v>103</v>
      </c>
      <c r="C17" s="3" t="s">
        <v>104</v>
      </c>
      <c r="D17" s="3" t="s">
        <v>69</v>
      </c>
      <c r="E17" s="3" t="s">
        <v>105</v>
      </c>
      <c r="F17" s="5" t="s">
        <v>106</v>
      </c>
      <c r="G17" s="7" t="s">
        <v>72</v>
      </c>
    </row>
    <row r="18" spans="1:7">
      <c r="A18" s="3">
        <v>14</v>
      </c>
      <c r="B18" s="5" t="s">
        <v>107</v>
      </c>
      <c r="C18" s="3" t="s">
        <v>108</v>
      </c>
      <c r="D18" s="3" t="s">
        <v>69</v>
      </c>
      <c r="E18" s="3" t="s">
        <v>77</v>
      </c>
      <c r="F18" s="5" t="s">
        <v>109</v>
      </c>
      <c r="G18" s="7" t="s">
        <v>72</v>
      </c>
    </row>
    <row r="19" spans="1:7">
      <c r="A19" s="3">
        <v>15</v>
      </c>
      <c r="B19" s="5" t="s">
        <v>110</v>
      </c>
      <c r="C19" s="3" t="s">
        <v>111</v>
      </c>
      <c r="D19" s="3" t="s">
        <v>69</v>
      </c>
      <c r="E19" s="3" t="s">
        <v>112</v>
      </c>
      <c r="F19" s="5" t="s">
        <v>113</v>
      </c>
      <c r="G19" s="7" t="s">
        <v>72</v>
      </c>
    </row>
    <row r="20" spans="1:7">
      <c r="A20" s="3">
        <v>16</v>
      </c>
      <c r="B20" s="5" t="s">
        <v>114</v>
      </c>
      <c r="C20" s="3" t="s">
        <v>115</v>
      </c>
      <c r="D20" s="3" t="s">
        <v>69</v>
      </c>
      <c r="E20" s="3" t="s">
        <v>116</v>
      </c>
      <c r="F20" s="5" t="s">
        <v>117</v>
      </c>
      <c r="G20" s="7" t="s">
        <v>72</v>
      </c>
    </row>
    <row r="21" spans="1:7">
      <c r="A21" s="3">
        <v>17</v>
      </c>
      <c r="B21" s="5" t="s">
        <v>118</v>
      </c>
      <c r="C21" s="3" t="s">
        <v>119</v>
      </c>
      <c r="D21" s="3" t="s">
        <v>69</v>
      </c>
      <c r="E21" s="3" t="s">
        <v>116</v>
      </c>
      <c r="F21" s="5" t="s">
        <v>120</v>
      </c>
      <c r="G21" s="7" t="s">
        <v>72</v>
      </c>
    </row>
    <row r="22" spans="1:7">
      <c r="A22" s="3">
        <v>18</v>
      </c>
      <c r="B22" s="5" t="s">
        <v>121</v>
      </c>
      <c r="C22" s="3" t="s">
        <v>122</v>
      </c>
      <c r="D22" s="3" t="s">
        <v>69</v>
      </c>
      <c r="E22" s="3" t="s">
        <v>116</v>
      </c>
      <c r="F22" s="5" t="s">
        <v>123</v>
      </c>
      <c r="G22" s="7" t="s">
        <v>72</v>
      </c>
    </row>
    <row r="23" spans="1:7">
      <c r="A23" s="3">
        <v>19</v>
      </c>
      <c r="B23" s="5" t="s">
        <v>124</v>
      </c>
      <c r="C23" s="3" t="s">
        <v>125</v>
      </c>
      <c r="D23" s="3" t="s">
        <v>69</v>
      </c>
      <c r="E23" s="3" t="s">
        <v>126</v>
      </c>
      <c r="F23" s="5" t="s">
        <v>127</v>
      </c>
      <c r="G23" s="7" t="s">
        <v>72</v>
      </c>
    </row>
    <row r="24" spans="1:7">
      <c r="A24" s="3">
        <v>20</v>
      </c>
      <c r="B24" s="5" t="s">
        <v>128</v>
      </c>
      <c r="C24" s="3" t="s">
        <v>129</v>
      </c>
      <c r="D24" s="3" t="s">
        <v>69</v>
      </c>
      <c r="E24" s="3" t="s">
        <v>130</v>
      </c>
      <c r="F24" s="5" t="s">
        <v>131</v>
      </c>
      <c r="G24" s="7" t="s">
        <v>72</v>
      </c>
    </row>
    <row r="25" spans="1:7">
      <c r="A25" s="3">
        <v>21</v>
      </c>
      <c r="B25" s="5" t="s">
        <v>132</v>
      </c>
      <c r="C25" s="3" t="s">
        <v>133</v>
      </c>
      <c r="D25" s="3" t="s">
        <v>69</v>
      </c>
      <c r="E25" s="3" t="s">
        <v>134</v>
      </c>
      <c r="F25" s="5" t="s">
        <v>135</v>
      </c>
      <c r="G25" s="8" t="s">
        <v>136</v>
      </c>
    </row>
    <row r="26" spans="1:7">
      <c r="A26" s="3">
        <v>22</v>
      </c>
      <c r="B26" s="5" t="s">
        <v>137</v>
      </c>
      <c r="C26" s="3" t="s">
        <v>138</v>
      </c>
      <c r="D26" s="3" t="s">
        <v>69</v>
      </c>
      <c r="E26" s="3" t="s">
        <v>139</v>
      </c>
      <c r="F26" s="5" t="s">
        <v>140</v>
      </c>
      <c r="G26" s="8" t="s">
        <v>136</v>
      </c>
    </row>
    <row r="27" spans="1:7">
      <c r="A27" s="3">
        <v>23</v>
      </c>
      <c r="B27" s="5" t="s">
        <v>141</v>
      </c>
      <c r="C27" s="3" t="s">
        <v>142</v>
      </c>
      <c r="D27" s="3" t="s">
        <v>143</v>
      </c>
      <c r="E27" s="3" t="s">
        <v>144</v>
      </c>
      <c r="F27" s="5" t="s">
        <v>145</v>
      </c>
      <c r="G27" s="7" t="s">
        <v>72</v>
      </c>
    </row>
    <row r="28" spans="1:7">
      <c r="A28" s="3">
        <v>24</v>
      </c>
      <c r="B28" s="5" t="s">
        <v>146</v>
      </c>
      <c r="C28" s="3" t="s">
        <v>147</v>
      </c>
      <c r="D28" s="3" t="s">
        <v>143</v>
      </c>
      <c r="E28" s="3" t="s">
        <v>148</v>
      </c>
      <c r="F28" s="5" t="s">
        <v>149</v>
      </c>
      <c r="G28" s="8" t="s">
        <v>136</v>
      </c>
    </row>
    <row r="29" spans="1:7">
      <c r="A29" s="3">
        <v>25</v>
      </c>
      <c r="B29" s="5" t="s">
        <v>150</v>
      </c>
      <c r="C29" s="3" t="s">
        <v>151</v>
      </c>
      <c r="D29" s="3" t="s">
        <v>143</v>
      </c>
      <c r="E29" s="3" t="s">
        <v>152</v>
      </c>
      <c r="F29" s="5" t="s">
        <v>153</v>
      </c>
      <c r="G29" s="7" t="s">
        <v>72</v>
      </c>
    </row>
    <row r="30" spans="1:7">
      <c r="A30" s="3">
        <v>26</v>
      </c>
      <c r="B30" s="5" t="s">
        <v>154</v>
      </c>
      <c r="C30" s="3" t="s">
        <v>155</v>
      </c>
      <c r="D30" s="3" t="s">
        <v>143</v>
      </c>
      <c r="E30" s="3" t="s">
        <v>156</v>
      </c>
      <c r="F30" s="5" t="s">
        <v>157</v>
      </c>
      <c r="G30" s="7" t="s">
        <v>72</v>
      </c>
    </row>
    <row r="31" spans="1:7">
      <c r="A31" s="3">
        <v>27</v>
      </c>
      <c r="B31" s="5" t="s">
        <v>158</v>
      </c>
      <c r="C31" s="3" t="s">
        <v>159</v>
      </c>
      <c r="D31" s="3" t="s">
        <v>143</v>
      </c>
      <c r="E31" s="3" t="s">
        <v>144</v>
      </c>
      <c r="F31" s="5" t="s">
        <v>160</v>
      </c>
      <c r="G31" s="7" t="s">
        <v>72</v>
      </c>
    </row>
    <row r="32" spans="1:7">
      <c r="A32" s="3">
        <v>28</v>
      </c>
      <c r="B32" s="5" t="s">
        <v>161</v>
      </c>
      <c r="C32" s="3" t="s">
        <v>162</v>
      </c>
      <c r="D32" s="3" t="s">
        <v>143</v>
      </c>
      <c r="E32" s="3" t="s">
        <v>163</v>
      </c>
      <c r="F32" s="5" t="s">
        <v>164</v>
      </c>
      <c r="G32" s="7" t="s">
        <v>72</v>
      </c>
    </row>
    <row r="33" spans="1:7">
      <c r="A33" s="3">
        <v>29</v>
      </c>
      <c r="B33" s="5" t="s">
        <v>165</v>
      </c>
      <c r="C33" s="3" t="s">
        <v>166</v>
      </c>
      <c r="D33" s="3" t="s">
        <v>143</v>
      </c>
      <c r="E33" s="3" t="s">
        <v>156</v>
      </c>
      <c r="F33" s="5" t="s">
        <v>167</v>
      </c>
      <c r="G33" s="7" t="s">
        <v>72</v>
      </c>
    </row>
    <row r="34" spans="1:7">
      <c r="A34" s="3">
        <v>30</v>
      </c>
      <c r="B34" s="5" t="s">
        <v>168</v>
      </c>
      <c r="C34" s="3" t="s">
        <v>169</v>
      </c>
      <c r="D34" s="3" t="s">
        <v>143</v>
      </c>
      <c r="E34" s="3" t="s">
        <v>170</v>
      </c>
      <c r="F34" s="5" t="s">
        <v>171</v>
      </c>
      <c r="G34" s="7" t="s">
        <v>72</v>
      </c>
    </row>
    <row r="35" spans="1:7">
      <c r="A35" s="3">
        <v>31</v>
      </c>
      <c r="B35" s="5" t="s">
        <v>172</v>
      </c>
      <c r="C35" s="3" t="s">
        <v>173</v>
      </c>
      <c r="D35" s="3" t="s">
        <v>143</v>
      </c>
      <c r="E35" s="3" t="s">
        <v>174</v>
      </c>
      <c r="F35" s="5" t="s">
        <v>175</v>
      </c>
      <c r="G35" s="7" t="s">
        <v>72</v>
      </c>
    </row>
    <row r="36" spans="1:7">
      <c r="A36" s="3">
        <v>32</v>
      </c>
      <c r="B36" s="5" t="s">
        <v>176</v>
      </c>
      <c r="C36" s="3" t="s">
        <v>177</v>
      </c>
      <c r="D36" s="3" t="s">
        <v>143</v>
      </c>
      <c r="E36" s="3" t="s">
        <v>144</v>
      </c>
      <c r="F36" s="5" t="s">
        <v>178</v>
      </c>
      <c r="G36" s="7" t="s">
        <v>72</v>
      </c>
    </row>
    <row r="37" spans="1:7">
      <c r="A37" s="3">
        <v>33</v>
      </c>
      <c r="B37" s="5" t="s">
        <v>179</v>
      </c>
      <c r="C37" s="3" t="s">
        <v>180</v>
      </c>
      <c r="D37" s="3" t="s">
        <v>143</v>
      </c>
      <c r="E37" s="3" t="s">
        <v>181</v>
      </c>
      <c r="F37" s="5" t="s">
        <v>182</v>
      </c>
      <c r="G37" s="7" t="s">
        <v>72</v>
      </c>
    </row>
    <row r="38" spans="1:7">
      <c r="A38" s="3">
        <v>34</v>
      </c>
      <c r="B38" s="5" t="s">
        <v>183</v>
      </c>
      <c r="C38" s="3" t="s">
        <v>184</v>
      </c>
      <c r="D38" s="3" t="s">
        <v>143</v>
      </c>
      <c r="E38" s="3" t="s">
        <v>185</v>
      </c>
      <c r="F38" s="5" t="s">
        <v>186</v>
      </c>
      <c r="G38" s="7" t="s">
        <v>72</v>
      </c>
    </row>
    <row r="39" spans="1:7">
      <c r="A39" s="3">
        <v>35</v>
      </c>
      <c r="B39" s="5" t="s">
        <v>187</v>
      </c>
      <c r="C39" s="3" t="s">
        <v>184</v>
      </c>
      <c r="D39" s="3" t="s">
        <v>143</v>
      </c>
      <c r="E39" s="3" t="s">
        <v>185</v>
      </c>
      <c r="F39" s="5" t="s">
        <v>188</v>
      </c>
      <c r="G39" s="7" t="s">
        <v>72</v>
      </c>
    </row>
    <row r="40" spans="1:7">
      <c r="A40" s="3">
        <v>36</v>
      </c>
      <c r="B40" s="5" t="s">
        <v>189</v>
      </c>
      <c r="C40" s="3" t="s">
        <v>190</v>
      </c>
      <c r="D40" s="3" t="s">
        <v>143</v>
      </c>
      <c r="E40" s="3" t="s">
        <v>191</v>
      </c>
      <c r="F40" s="5" t="s">
        <v>192</v>
      </c>
      <c r="G40" s="7" t="s">
        <v>72</v>
      </c>
    </row>
    <row r="41" spans="1:7">
      <c r="A41" s="3">
        <v>37</v>
      </c>
      <c r="B41" s="5" t="s">
        <v>193</v>
      </c>
      <c r="C41" s="3" t="s">
        <v>194</v>
      </c>
      <c r="D41" s="3" t="s">
        <v>143</v>
      </c>
      <c r="E41" s="3" t="s">
        <v>144</v>
      </c>
      <c r="F41" s="5" t="s">
        <v>195</v>
      </c>
      <c r="G41" s="7" t="s">
        <v>72</v>
      </c>
    </row>
    <row r="42" spans="1:7">
      <c r="A42" s="3">
        <v>38</v>
      </c>
      <c r="B42" s="5" t="s">
        <v>196</v>
      </c>
      <c r="C42" s="3" t="s">
        <v>197</v>
      </c>
      <c r="D42" s="3" t="s">
        <v>143</v>
      </c>
      <c r="E42" s="3" t="s">
        <v>198</v>
      </c>
      <c r="F42" s="5" t="s">
        <v>199</v>
      </c>
      <c r="G42" s="7" t="s">
        <v>72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Added &amp; Modified Files</vt:lpstr>
      <vt:lpstr>Required Packages &amp; Libraries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2026-07-24T10:18:41Z</dcterms:created>
  <dcterms:modified xsi:type="dcterms:W3CDTF">2026-07-24T10:18:41Z</dcterms:modified>
</cp:coreProperties>
</file>